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ERIFIED_DEPARTMENT_FILES\input_excels\"/>
    </mc:Choice>
  </mc:AlternateContent>
  <xr:revisionPtr revIDLastSave="0" documentId="13_ncr:1_{16224C3B-67AD-4A69-8D1D-B590A23DBB58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UIBM_QR_VERIFICATION" sheetId="1" r:id="rId1"/>
    <sheet name="IMPLEMENTATION_GUIDE" sheetId="2" r:id="rId2"/>
  </sheets>
  <calcPr calcId="191029"/>
</workbook>
</file>

<file path=xl/calcChain.xml><?xml version="1.0" encoding="utf-8"?>
<calcChain xmlns="http://schemas.openxmlformats.org/spreadsheetml/2006/main">
  <c r="R30" i="1" l="1"/>
  <c r="S30" i="1" s="1"/>
  <c r="R29" i="1"/>
  <c r="S29" i="1" s="1"/>
  <c r="R28" i="1"/>
  <c r="S28" i="1" s="1"/>
  <c r="R27" i="1"/>
  <c r="S27" i="1" s="1"/>
  <c r="R26" i="1"/>
  <c r="S26" i="1" s="1"/>
  <c r="S25" i="1"/>
  <c r="R25" i="1"/>
  <c r="S24" i="1"/>
  <c r="R24" i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<sst xmlns="http://schemas.openxmlformats.org/spreadsheetml/2006/main" count="314" uniqueCount="254">
  <si>
    <t>Reference No.</t>
  </si>
  <si>
    <t>Name of the Item</t>
  </si>
  <si>
    <t>Bill Number</t>
  </si>
  <si>
    <t>Bill Date</t>
  </si>
  <si>
    <t>Inventory Category</t>
  </si>
  <si>
    <t>Inventory Sub Category</t>
  </si>
  <si>
    <t>GEM Bill Number</t>
  </si>
  <si>
    <t>Total Quantity</t>
  </si>
  <si>
    <t>Available Quantity</t>
  </si>
  <si>
    <t>Asset ID</t>
  </si>
  <si>
    <t>Building</t>
  </si>
  <si>
    <t>Floor</t>
  </si>
  <si>
    <t>Room No</t>
  </si>
  <si>
    <t>Cabin/Lab/Classroom</t>
  </si>
  <si>
    <t>Exact Physical Location</t>
  </si>
  <si>
    <t>Custodian/User</t>
  </si>
  <si>
    <t>Department Verification Committee</t>
  </si>
  <si>
    <t>Verified Available Quantity</t>
  </si>
  <si>
    <t>Missing Quantity</t>
  </si>
  <si>
    <t>Verification Status</t>
  </si>
  <si>
    <t>Condition</t>
  </si>
  <si>
    <t>QR Sticker Pasted</t>
  </si>
  <si>
    <t>Verified By</t>
  </si>
  <si>
    <t>Verification Date</t>
  </si>
  <si>
    <t>Photo Link</t>
  </si>
  <si>
    <t>Google Sheet Row Link</t>
  </si>
  <si>
    <t>QR Tracking Link</t>
  </si>
  <si>
    <t>Remarks</t>
  </si>
  <si>
    <t>2024SEPIMS00004060</t>
  </si>
  <si>
    <t>CHAIR</t>
  </si>
  <si>
    <t>471</t>
  </si>
  <si>
    <t>Oct 21, 2022</t>
  </si>
  <si>
    <t>FURNITURE (NON_CONSUMABLE)</t>
  </si>
  <si>
    <t>WOODEN FURNITURE</t>
  </si>
  <si>
    <t>CSJMU-UIBM-00001</t>
  </si>
  <si>
    <t>https://docs.google.com/spreadsheets/d/1YQmKRvoXVfKvPnD--oA8zFRhrVoz8iDSD82l2x_g7fc/edit#gid=0&amp;range=A2</t>
  </si>
  <si>
    <t>https://docs.google.com/spreadsheets/d/1YQmKRvoXVfKvPnD--oA8zFRhrVoz8iDSD82l2x_g7fc/edit#gid=1224970529&amp;range=A2</t>
  </si>
  <si>
    <t>2024SEPIMS00004059</t>
  </si>
  <si>
    <t>EXECUTIVE TABLE</t>
  </si>
  <si>
    <t>473</t>
  </si>
  <si>
    <t>CSJMU-UIBM-00002</t>
  </si>
  <si>
    <t>https://docs.google.com/spreadsheets/d/1YQmKRvoXVfKvPnD--oA8zFRhrVoz8iDSD82l2x_g7fc/edit#gid=0&amp;range=A3</t>
  </si>
  <si>
    <t>https://docs.google.com/spreadsheets/d/1YQmKRvoXVfKvPnD--oA8zFRhrVoz8iDSD82l2x_g7fc/edit#gid=1224970529&amp;range=A3</t>
  </si>
  <si>
    <t>2024SEPIMS00004057</t>
  </si>
  <si>
    <t>CHAIR (STUDENT) with writing pad</t>
  </si>
  <si>
    <t>M-468</t>
  </si>
  <si>
    <t>Oct 10, 2022</t>
  </si>
  <si>
    <t>CSJMU-UIBM-00003</t>
  </si>
  <si>
    <t>https://docs.google.com/spreadsheets/d/1YQmKRvoXVfKvPnD--oA8zFRhrVoz8iDSD82l2x_g7fc/edit#gid=0&amp;range=A4</t>
  </si>
  <si>
    <t>https://docs.google.com/spreadsheets/d/1YQmKRvoXVfKvPnD--oA8zFRhrVoz8iDSD82l2x_g7fc/edit#gid=1224970529&amp;range=A4</t>
  </si>
  <si>
    <t>2024SEPIMS00004024</t>
  </si>
  <si>
    <t>CHAIR(REVOLVING)</t>
  </si>
  <si>
    <t>472</t>
  </si>
  <si>
    <t>STEEL FURNITURE</t>
  </si>
  <si>
    <t>CSJMU-UIBM-00004</t>
  </si>
  <si>
    <t>https://docs.google.com/spreadsheets/d/1YQmKRvoXVfKvPnD--oA8zFRhrVoz8iDSD82l2x_g7fc/edit#gid=0&amp;range=A5</t>
  </si>
  <si>
    <t>https://docs.google.com/spreadsheets/d/1YQmKRvoXVfKvPnD--oA8zFRhrVoz8iDSD82l2x_g7fc/edit#gid=1224970529&amp;range=A5</t>
  </si>
  <si>
    <t>2024SEPIMS00003852</t>
  </si>
  <si>
    <t>INTRACT.PANEL LCD INFRARED OPT.3840X2160</t>
  </si>
  <si>
    <t>HO/3115/2223</t>
  </si>
  <si>
    <t>Oct 24, 2022</t>
  </si>
  <si>
    <t>COMPUTER &amp; PERIPHERAL (NON_CONSUMABLE)</t>
  </si>
  <si>
    <t>MULTI MEDIA KIT</t>
  </si>
  <si>
    <t>CSJMU-UIBM-00005</t>
  </si>
  <si>
    <t>https://docs.google.com/spreadsheets/d/1YQmKRvoXVfKvPnD--oA8zFRhrVoz8iDSD82l2x_g7fc/edit#gid=0&amp;range=A6</t>
  </si>
  <si>
    <t>https://docs.google.com/spreadsheets/d/1YQmKRvoXVfKvPnD--oA8zFRhrVoz8iDSD82l2x_g7fc/edit#gid=1224970529&amp;range=A6</t>
  </si>
  <si>
    <t>2024SEPIMS00003767</t>
  </si>
  <si>
    <t>Intelcore i514"Laptop win10</t>
  </si>
  <si>
    <t>HO/1136/2223</t>
  </si>
  <si>
    <t>Jun 20, 2022</t>
  </si>
  <si>
    <t>LAPTOP</t>
  </si>
  <si>
    <t>CSJMU-UIBM-00006</t>
  </si>
  <si>
    <t>https://docs.google.com/spreadsheets/d/1YQmKRvoXVfKvPnD--oA8zFRhrVoz8iDSD82l2x_g7fc/edit#gid=0&amp;range=A7</t>
  </si>
  <si>
    <t>https://docs.google.com/spreadsheets/d/1YQmKRvoXVfKvPnD--oA8zFRhrVoz8iDSD82l2x_g7fc/edit#gid=1224970529&amp;range=A7</t>
  </si>
  <si>
    <t>2024SEPIMS00003669</t>
  </si>
  <si>
    <t>HP Desktop Ryzen5 19.5inch</t>
  </si>
  <si>
    <t>PISPL/2013</t>
  </si>
  <si>
    <t>Mar 22, 2022</t>
  </si>
  <si>
    <t>COMPUTER PRINTER(PRINTER)</t>
  </si>
  <si>
    <t>CSJMU-UIBM-00007</t>
  </si>
  <si>
    <t>https://docs.google.com/spreadsheets/d/1YQmKRvoXVfKvPnD--oA8zFRhrVoz8iDSD82l2x_g7fc/edit#gid=0&amp;range=A8</t>
  </si>
  <si>
    <t>https://docs.google.com/spreadsheets/d/1YQmKRvoXVfKvPnD--oA8zFRhrVoz8iDSD82l2x_g7fc/edit#gid=1224970529&amp;range=A8</t>
  </si>
  <si>
    <t>2024SEPIMS00003666</t>
  </si>
  <si>
    <t>CSJMU-UIBM-00008</t>
  </si>
  <si>
    <t>https://docs.google.com/spreadsheets/d/1YQmKRvoXVfKvPnD--oA8zFRhrVoz8iDSD82l2x_g7fc/edit#gid=0&amp;range=A9</t>
  </si>
  <si>
    <t>https://docs.google.com/spreadsheets/d/1YQmKRvoXVfKvPnD--oA8zFRhrVoz8iDSD82l2x_g7fc/edit#gid=1224970529&amp;range=A9</t>
  </si>
  <si>
    <t>2024SEPIMS00003611</t>
  </si>
  <si>
    <t>HP Desktop Ryzen7 23.8"</t>
  </si>
  <si>
    <t>CSJMU-UIBM-00009</t>
  </si>
  <si>
    <t>https://docs.google.com/spreadsheets/d/1YQmKRvoXVfKvPnD--oA8zFRhrVoz8iDSD82l2x_g7fc/edit#gid=0&amp;range=A10</t>
  </si>
  <si>
    <t>https://docs.google.com/spreadsheets/d/1YQmKRvoXVfKvPnD--oA8zFRhrVoz8iDSD82l2x_g7fc/edit#gid=1224970529&amp;range=A10</t>
  </si>
  <si>
    <t>2024SEPIMS00003610</t>
  </si>
  <si>
    <t>CSJMU-UIBM-00010</t>
  </si>
  <si>
    <t>https://docs.google.com/spreadsheets/d/1YQmKRvoXVfKvPnD--oA8zFRhrVoz8iDSD82l2x_g7fc/edit#gid=0&amp;range=A11</t>
  </si>
  <si>
    <t>https://docs.google.com/spreadsheets/d/1YQmKRvoXVfKvPnD--oA8zFRhrVoz8iDSD82l2x_g7fc/edit#gid=1224970529&amp;range=A11</t>
  </si>
  <si>
    <t>2024SEPIMS00003589</t>
  </si>
  <si>
    <t>Canon Multi Func.m/c G6070</t>
  </si>
  <si>
    <t>PISPL22230692</t>
  </si>
  <si>
    <t>Jul 30, 2022</t>
  </si>
  <si>
    <t>CSJMU-UIBM-00011</t>
  </si>
  <si>
    <t>https://docs.google.com/spreadsheets/d/1YQmKRvoXVfKvPnD--oA8zFRhrVoz8iDSD82l2x_g7fc/edit#gid=0&amp;range=A12</t>
  </si>
  <si>
    <t>https://docs.google.com/spreadsheets/d/1YQmKRvoXVfKvPnD--oA8zFRhrVoz8iDSD82l2x_g7fc/edit#gid=1224970529&amp;range=A12</t>
  </si>
  <si>
    <t>2024SEPIMS00003569</t>
  </si>
  <si>
    <t>MULTIFUNC. M/C PRINTER KYOCERA M2040DN</t>
  </si>
  <si>
    <t>60</t>
  </si>
  <si>
    <t>Jul 8, 2022</t>
  </si>
  <si>
    <t>CSJMU-UIBM-00012</t>
  </si>
  <si>
    <t>https://docs.google.com/spreadsheets/d/1YQmKRvoXVfKvPnD--oA8zFRhrVoz8iDSD82l2x_g7fc/edit#gid=0&amp;range=A13</t>
  </si>
  <si>
    <t>https://docs.google.com/spreadsheets/d/1YQmKRvoXVfKvPnD--oA8zFRhrVoz8iDSD82l2x_g7fc/edit#gid=1224970529&amp;range=A13</t>
  </si>
  <si>
    <t>2024SEPIMS00003568</t>
  </si>
  <si>
    <t>BROTHER MULTIFUNT. PRINTER DCP L3551CDW</t>
  </si>
  <si>
    <t>HO/1264/2223</t>
  </si>
  <si>
    <t>Jun 29, 2022</t>
  </si>
  <si>
    <t>CSJMU-UIBM-00013</t>
  </si>
  <si>
    <t>https://docs.google.com/spreadsheets/d/1YQmKRvoXVfKvPnD--oA8zFRhrVoz8iDSD82l2x_g7fc/edit#gid=0&amp;range=A14</t>
  </si>
  <si>
    <t>https://docs.google.com/spreadsheets/d/1YQmKRvoXVfKvPnD--oA8zFRhrVoz8iDSD82l2x_g7fc/edit#gid=1224970529&amp;range=A14</t>
  </si>
  <si>
    <t>2024SEPIMS00003562</t>
  </si>
  <si>
    <t>Multifunction machine M2640idw</t>
  </si>
  <si>
    <t>56</t>
  </si>
  <si>
    <t>Jul 1, 2022</t>
  </si>
  <si>
    <t>CSJMU-UIBM-00014</t>
  </si>
  <si>
    <t>https://docs.google.com/spreadsheets/d/1YQmKRvoXVfKvPnD--oA8zFRhrVoz8iDSD82l2x_g7fc/edit#gid=0&amp;range=A15</t>
  </si>
  <si>
    <t>https://docs.google.com/spreadsheets/d/1YQmKRvoXVfKvPnD--oA8zFRhrVoz8iDSD82l2x_g7fc/edit#gid=1224970529&amp;range=A15</t>
  </si>
  <si>
    <t>2024SEPIMS00003547</t>
  </si>
  <si>
    <t>Canon Multifunc. m/cMF445dw</t>
  </si>
  <si>
    <t>UR/L/165/21-22</t>
  </si>
  <si>
    <t>Feb 21, 2022</t>
  </si>
  <si>
    <t>CSJMU-UIBM-00015</t>
  </si>
  <si>
    <t>https://docs.google.com/spreadsheets/d/1YQmKRvoXVfKvPnD--oA8zFRhrVoz8iDSD82l2x_g7fc/edit#gid=0&amp;range=A16</t>
  </si>
  <si>
    <t>https://docs.google.com/spreadsheets/d/1YQmKRvoXVfKvPnD--oA8zFRhrVoz8iDSD82l2x_g7fc/edit#gid=1224970529&amp;range=A16</t>
  </si>
  <si>
    <t>2024SEPIMS00003505</t>
  </si>
  <si>
    <t>HDD 2 TB</t>
  </si>
  <si>
    <t>SRP/22-23/0137</t>
  </si>
  <si>
    <t>Feb 17, 2023</t>
  </si>
  <si>
    <t>APPERATUS &amp; TOOLS(NON CONSUMABLE) (NON_CONSUMABLE)</t>
  </si>
  <si>
    <t>OPERATUS &amp; TOOLS1</t>
  </si>
  <si>
    <t>CSJMU-UIBM-00016</t>
  </si>
  <si>
    <t>https://docs.google.com/spreadsheets/d/1YQmKRvoXVfKvPnD--oA8zFRhrVoz8iDSD82l2x_g7fc/edit#gid=0&amp;range=A17</t>
  </si>
  <si>
    <t>https://docs.google.com/spreadsheets/d/1YQmKRvoXVfKvPnD--oA8zFRhrVoz8iDSD82l2x_g7fc/edit#gid=1224970529&amp;range=A17</t>
  </si>
  <si>
    <t>2024SEPIMS00003503</t>
  </si>
  <si>
    <t>SRP/22-23/0145</t>
  </si>
  <si>
    <t>Feb 22, 2023</t>
  </si>
  <si>
    <t>CSJMU-UIBM-00017</t>
  </si>
  <si>
    <t>https://docs.google.com/spreadsheets/d/1YQmKRvoXVfKvPnD--oA8zFRhrVoz8iDSD82l2x_g7fc/edit#gid=0&amp;range=A18</t>
  </si>
  <si>
    <t>https://docs.google.com/spreadsheets/d/1YQmKRvoXVfKvPnD--oA8zFRhrVoz8iDSD82l2x_g7fc/edit#gid=1224970529&amp;range=A18</t>
  </si>
  <si>
    <t>2024SEPIMS00003499</t>
  </si>
  <si>
    <t>4 tb Hard Disk</t>
  </si>
  <si>
    <t>SRP/0171</t>
  </si>
  <si>
    <t>Mar 22, 2023</t>
  </si>
  <si>
    <t>HARD DISK</t>
  </si>
  <si>
    <t>CSJMU-UIBM-00018</t>
  </si>
  <si>
    <t>https://docs.google.com/spreadsheets/d/1YQmKRvoXVfKvPnD--oA8zFRhrVoz8iDSD82l2x_g7fc/edit#gid=0&amp;range=A19</t>
  </si>
  <si>
    <t>https://docs.google.com/spreadsheets/d/1YQmKRvoXVfKvPnD--oA8zFRhrVoz8iDSD82l2x_g7fc/edit#gid=1224970529&amp;range=A19</t>
  </si>
  <si>
    <t>2024SEPIMS00003478</t>
  </si>
  <si>
    <t>WEB CAMERA</t>
  </si>
  <si>
    <t>RSP/1212</t>
  </si>
  <si>
    <t>Mar 31, 2023</t>
  </si>
  <si>
    <t>CSJMU-UIBM-00019</t>
  </si>
  <si>
    <t>https://docs.google.com/spreadsheets/d/1YQmKRvoXVfKvPnD--oA8zFRhrVoz8iDSD82l2x_g7fc/edit#gid=0&amp;range=A20</t>
  </si>
  <si>
    <t>https://docs.google.com/spreadsheets/d/1YQmKRvoXVfKvPnD--oA8zFRhrVoz8iDSD82l2x_g7fc/edit#gid=1224970529&amp;range=A20</t>
  </si>
  <si>
    <t>2024SEPIMS00003314</t>
  </si>
  <si>
    <t>AIR CONDITIONER (1.5 TON) SPLIT</t>
  </si>
  <si>
    <t>GEM30773112</t>
  </si>
  <si>
    <t>May 18, 2023</t>
  </si>
  <si>
    <t>ELECTRICAL APPLIANCES (NON_CONSUMABLE)</t>
  </si>
  <si>
    <t>AIR CONDITIONER(SPLIT AC)</t>
  </si>
  <si>
    <t>CSJMU-UIBM-00020</t>
  </si>
  <si>
    <t>https://docs.google.com/spreadsheets/d/1YQmKRvoXVfKvPnD--oA8zFRhrVoz8iDSD82l2x_g7fc/edit#gid=0&amp;range=A21</t>
  </si>
  <si>
    <t>https://docs.google.com/spreadsheets/d/1YQmKRvoXVfKvPnD--oA8zFRhrVoz8iDSD82l2x_g7fc/edit#gid=1224970529&amp;range=A21</t>
  </si>
  <si>
    <t>2024SEPIMS00003288</t>
  </si>
  <si>
    <t>Double Door Refrigerator</t>
  </si>
  <si>
    <t>GEM34144506</t>
  </si>
  <si>
    <t>Sep 2, 2023</t>
  </si>
  <si>
    <t>FRIDGE</t>
  </si>
  <si>
    <t>CSJMU-UIBM-00021</t>
  </si>
  <si>
    <t>https://docs.google.com/spreadsheets/d/1YQmKRvoXVfKvPnD--oA8zFRhrVoz8iDSD82l2x_g7fc/edit#gid=0&amp;range=A22</t>
  </si>
  <si>
    <t>https://docs.google.com/spreadsheets/d/1YQmKRvoXVfKvPnD--oA8zFRhrVoz8iDSD82l2x_g7fc/edit#gid=1224970529&amp;range=A22</t>
  </si>
  <si>
    <t>2024SEPIMS00003236</t>
  </si>
  <si>
    <t>GEM30560854</t>
  </si>
  <si>
    <t>May 10, 2023</t>
  </si>
  <si>
    <t>CSJMU-UIBM-00022</t>
  </si>
  <si>
    <t>https://docs.google.com/spreadsheets/d/1YQmKRvoXVfKvPnD--oA8zFRhrVoz8iDSD82l2x_g7fc/edit#gid=0&amp;range=A23</t>
  </si>
  <si>
    <t>https://docs.google.com/spreadsheets/d/1YQmKRvoXVfKvPnD--oA8zFRhrVoz8iDSD82l2x_g7fc/edit#gid=1224970529&amp;range=A23</t>
  </si>
  <si>
    <t>2024SEPIMS00003202</t>
  </si>
  <si>
    <t>BLOWER</t>
  </si>
  <si>
    <t>18</t>
  </si>
  <si>
    <t>Jan 19, 2023</t>
  </si>
  <si>
    <t>HEETER(GENERAL HEETER)</t>
  </si>
  <si>
    <t>CSJMU-UIBM-00023</t>
  </si>
  <si>
    <t>https://docs.google.com/spreadsheets/d/1YQmKRvoXVfKvPnD--oA8zFRhrVoz8iDSD82l2x_g7fc/edit#gid=0&amp;range=A24</t>
  </si>
  <si>
    <t>https://docs.google.com/spreadsheets/d/1YQmKRvoXVfKvPnD--oA8zFRhrVoz8iDSD82l2x_g7fc/edit#gid=1224970529&amp;range=A24</t>
  </si>
  <si>
    <t>2024SEPIMS00002808</t>
  </si>
  <si>
    <t>CENTER TABLE</t>
  </si>
  <si>
    <t>GEM34746670</t>
  </si>
  <si>
    <t>Sep 20, 2023</t>
  </si>
  <si>
    <t>WOODEN FURNITURE(SIDE RACKS)</t>
  </si>
  <si>
    <t>CSJMU-UIBM-00024</t>
  </si>
  <si>
    <t>https://docs.google.com/spreadsheets/d/1YQmKRvoXVfKvPnD--oA8zFRhrVoz8iDSD82l2x_g7fc/edit#gid=0&amp;range=A25</t>
  </si>
  <si>
    <t>https://docs.google.com/spreadsheets/d/1YQmKRvoXVfKvPnD--oA8zFRhrVoz8iDSD82l2x_g7fc/edit#gid=1224970529&amp;range=A25</t>
  </si>
  <si>
    <t>2024SEPIMS00002785</t>
  </si>
  <si>
    <t>LED DISPLAY MATRIX CARD</t>
  </si>
  <si>
    <t>2022-23/950</t>
  </si>
  <si>
    <t>Mar 18, 2023</t>
  </si>
  <si>
    <t>ELECTRONIC (NON_CONSUMABLE)</t>
  </si>
  <si>
    <t>MICROPROCESSOR KIT</t>
  </si>
  <si>
    <t>CSJMU-UIBM-00025</t>
  </si>
  <si>
    <t>https://docs.google.com/spreadsheets/d/1YQmKRvoXVfKvPnD--oA8zFRhrVoz8iDSD82l2x_g7fc/edit#gid=0&amp;range=A26</t>
  </si>
  <si>
    <t>https://docs.google.com/spreadsheets/d/1YQmKRvoXVfKvPnD--oA8zFRhrVoz8iDSD82l2x_g7fc/edit#gid=1224970529&amp;range=A26</t>
  </si>
  <si>
    <t>2024SEPIMS00002576</t>
  </si>
  <si>
    <t>150 LIT./HOUR WATER COOLER</t>
  </si>
  <si>
    <t>GEM-39480503</t>
  </si>
  <si>
    <t>Feb 3, 2024</t>
  </si>
  <si>
    <t>WATER PURIFIER</t>
  </si>
  <si>
    <t>CSJMU-UIBM-00026</t>
  </si>
  <si>
    <t>https://docs.google.com/spreadsheets/d/1YQmKRvoXVfKvPnD--oA8zFRhrVoz8iDSD82l2x_g7fc/edit#gid=0&amp;range=A27</t>
  </si>
  <si>
    <t>https://docs.google.com/spreadsheets/d/1YQmKRvoXVfKvPnD--oA8zFRhrVoz8iDSD82l2x_g7fc/edit#gid=1224970529&amp;range=A27</t>
  </si>
  <si>
    <t>2024SEPIMS00002384</t>
  </si>
  <si>
    <t>SOFA SET MODEL  (4 SEATER)</t>
  </si>
  <si>
    <t>GEM34746944</t>
  </si>
  <si>
    <t>CSJMU-UIBM-00027</t>
  </si>
  <si>
    <t>https://docs.google.com/spreadsheets/d/1YQmKRvoXVfKvPnD--oA8zFRhrVoz8iDSD82l2x_g7fc/edit#gid=0&amp;range=A28</t>
  </si>
  <si>
    <t>https://docs.google.com/spreadsheets/d/1YQmKRvoXVfKvPnD--oA8zFRhrVoz8iDSD82l2x_g7fc/edit#gid=1224970529&amp;range=A28</t>
  </si>
  <si>
    <t>2024SEPIMS00002127</t>
  </si>
  <si>
    <t>HP INTELCORE I5/8GB/0GBHDD WIN10</t>
  </si>
  <si>
    <t>GEM33636294</t>
  </si>
  <si>
    <t>Aug 17, 2023</t>
  </si>
  <si>
    <t>COMPUTER SYSTEMS</t>
  </si>
  <si>
    <t>CSJMU-UIBM-00028</t>
  </si>
  <si>
    <t>https://docs.google.com/spreadsheets/d/1YQmKRvoXVfKvPnD--oA8zFRhrVoz8iDSD82l2x_g7fc/edit#gid=0&amp;range=A29</t>
  </si>
  <si>
    <t>https://docs.google.com/spreadsheets/d/1YQmKRvoXVfKvPnD--oA8zFRhrVoz8iDSD82l2x_g7fc/edit#gid=1224970529&amp;range=A29</t>
  </si>
  <si>
    <t>2024SEPIMS00002125</t>
  </si>
  <si>
    <t>Canon laser Printer LBP6030b</t>
  </si>
  <si>
    <t>GEM33731383</t>
  </si>
  <si>
    <t>Aug 21, 2023</t>
  </si>
  <si>
    <t>CSJMU-UIBM-00029</t>
  </si>
  <si>
    <t>https://docs.google.com/spreadsheets/d/1YQmKRvoXVfKvPnD--oA8zFRhrVoz8iDSD82l2x_g7fc/edit#gid=0&amp;range=A30</t>
  </si>
  <si>
    <t>https://docs.google.com/spreadsheets/d/1YQmKRvoXVfKvPnD--oA8zFRhrVoz8iDSD82l2x_g7fc/edit#gid=1224970529&amp;range=A30</t>
  </si>
  <si>
    <t>UIBM QR + MICRO LOCATION VERIFICATION IMPLEMENTATION</t>
  </si>
  <si>
    <t>1. Upload this file to Google Sheets.</t>
  </si>
  <si>
    <t>2. Replace 1YQmKRvoXVfKvPnD--oA8zFRhrVoz8iDSD82l2x_g7fc in Google Sheet Row Link column.</t>
  </si>
  <si>
    <t>3. Generate QR codes from QR Tracking Link column.</t>
  </si>
  <si>
    <t>4. Scan QR to open same Google Sheet row.</t>
  </si>
  <si>
    <t>5. Verification committee updates room/location and verified quantity.</t>
  </si>
  <si>
    <t>6. Missing quantity auto-calculates.</t>
  </si>
  <si>
    <t>7. Use dropdowns for verification status and condition.</t>
  </si>
  <si>
    <t>UIBM</t>
  </si>
  <si>
    <t>lab</t>
  </si>
  <si>
    <t>lab-101</t>
  </si>
  <si>
    <t>VK mishra</t>
  </si>
  <si>
    <t>done</t>
  </si>
  <si>
    <t>FOUND</t>
  </si>
  <si>
    <t>GOOD</t>
  </si>
  <si>
    <t>YES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</si>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</sst>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3"/>
      <color theme="1"/>
      <name val="Calibri"/>
      <scheme val="minor"/>
    </font>
    <font>
      <u/>
      <sz val="11"/>
      <color rgb="FF0000FF"/>
      <name val="Calibri"/>
    </font>
    <font>
      <b/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YQmKRvoXVfKvPnD--oA8zFRhrVoz8iDSD82l2x_g7fc/edit" TargetMode="External"/><Relationship Id="rId18" Type="http://schemas.openxmlformats.org/officeDocument/2006/relationships/hyperlink" Target="https://docs.google.com/spreadsheets/d/1YQmKRvoXVfKvPnD--oA8zFRhrVoz8iDSD82l2x_g7fc/edit" TargetMode="External"/><Relationship Id="rId26" Type="http://schemas.openxmlformats.org/officeDocument/2006/relationships/hyperlink" Target="https://docs.google.com/spreadsheets/d/1YQmKRvoXVfKvPnD--oA8zFRhrVoz8iDSD82l2x_g7fc/edit" TargetMode="External"/><Relationship Id="rId39" Type="http://schemas.openxmlformats.org/officeDocument/2006/relationships/hyperlink" Target="https://docs.google.com/spreadsheets/d/1YQmKRvoXVfKvPnD--oA8zFRhrVoz8iDSD82l2x_g7fc/edit" TargetMode="External"/><Relationship Id="rId21" Type="http://schemas.openxmlformats.org/officeDocument/2006/relationships/hyperlink" Target="https://docs.google.com/spreadsheets/d/1YQmKRvoXVfKvPnD--oA8zFRhrVoz8iDSD82l2x_g7fc/edit" TargetMode="External"/><Relationship Id="rId34" Type="http://schemas.openxmlformats.org/officeDocument/2006/relationships/hyperlink" Target="https://docs.google.com/spreadsheets/d/1YQmKRvoXVfKvPnD--oA8zFRhrVoz8iDSD82l2x_g7fc/edit" TargetMode="External"/><Relationship Id="rId42" Type="http://schemas.openxmlformats.org/officeDocument/2006/relationships/hyperlink" Target="https://docs.google.com/spreadsheets/d/1YQmKRvoXVfKvPnD--oA8zFRhrVoz8iDSD82l2x_g7fc/edit" TargetMode="External"/><Relationship Id="rId47" Type="http://schemas.openxmlformats.org/officeDocument/2006/relationships/hyperlink" Target="https://docs.google.com/spreadsheets/d/1YQmKRvoXVfKvPnD--oA8zFRhrVoz8iDSD82l2x_g7fc/edit" TargetMode="External"/><Relationship Id="rId50" Type="http://schemas.openxmlformats.org/officeDocument/2006/relationships/hyperlink" Target="https://docs.google.com/spreadsheets/d/1YQmKRvoXVfKvPnD--oA8zFRhrVoz8iDSD82l2x_g7fc/edit" TargetMode="External"/><Relationship Id="rId55" Type="http://schemas.openxmlformats.org/officeDocument/2006/relationships/hyperlink" Target="https://docs.google.com/spreadsheets/d/1YQmKRvoXVfKvPnD--oA8zFRhrVoz8iDSD82l2x_g7fc/edit" TargetMode="External"/><Relationship Id="rId7" Type="http://schemas.openxmlformats.org/officeDocument/2006/relationships/hyperlink" Target="https://docs.google.com/spreadsheets/d/1YQmKRvoXVfKvPnD--oA8zFRhrVoz8iDSD82l2x_g7fc/edit" TargetMode="External"/><Relationship Id="rId12" Type="http://schemas.openxmlformats.org/officeDocument/2006/relationships/hyperlink" Target="https://docs.google.com/spreadsheets/d/1YQmKRvoXVfKvPnD--oA8zFRhrVoz8iDSD82l2x_g7fc/edit" TargetMode="External"/><Relationship Id="rId17" Type="http://schemas.openxmlformats.org/officeDocument/2006/relationships/hyperlink" Target="https://docs.google.com/spreadsheets/d/1YQmKRvoXVfKvPnD--oA8zFRhrVoz8iDSD82l2x_g7fc/edit" TargetMode="External"/><Relationship Id="rId25" Type="http://schemas.openxmlformats.org/officeDocument/2006/relationships/hyperlink" Target="https://docs.google.com/spreadsheets/d/1YQmKRvoXVfKvPnD--oA8zFRhrVoz8iDSD82l2x_g7fc/edit" TargetMode="External"/><Relationship Id="rId33" Type="http://schemas.openxmlformats.org/officeDocument/2006/relationships/hyperlink" Target="https://docs.google.com/spreadsheets/d/1YQmKRvoXVfKvPnD--oA8zFRhrVoz8iDSD82l2x_g7fc/edit" TargetMode="External"/><Relationship Id="rId38" Type="http://schemas.openxmlformats.org/officeDocument/2006/relationships/hyperlink" Target="https://docs.google.com/spreadsheets/d/1YQmKRvoXVfKvPnD--oA8zFRhrVoz8iDSD82l2x_g7fc/edit" TargetMode="External"/><Relationship Id="rId46" Type="http://schemas.openxmlformats.org/officeDocument/2006/relationships/hyperlink" Target="https://docs.google.com/spreadsheets/d/1YQmKRvoXVfKvPnD--oA8zFRhrVoz8iDSD82l2x_g7fc/edit" TargetMode="External"/><Relationship Id="rId2" Type="http://schemas.openxmlformats.org/officeDocument/2006/relationships/hyperlink" Target="https://docs.google.com/spreadsheets/d/1YQmKRvoXVfKvPnD--oA8zFRhrVoz8iDSD82l2x_g7fc/edit" TargetMode="External"/><Relationship Id="rId16" Type="http://schemas.openxmlformats.org/officeDocument/2006/relationships/hyperlink" Target="https://docs.google.com/spreadsheets/d/1YQmKRvoXVfKvPnD--oA8zFRhrVoz8iDSD82l2x_g7fc/edit" TargetMode="External"/><Relationship Id="rId20" Type="http://schemas.openxmlformats.org/officeDocument/2006/relationships/hyperlink" Target="https://docs.google.com/spreadsheets/d/1YQmKRvoXVfKvPnD--oA8zFRhrVoz8iDSD82l2x_g7fc/edit" TargetMode="External"/><Relationship Id="rId29" Type="http://schemas.openxmlformats.org/officeDocument/2006/relationships/hyperlink" Target="https://docs.google.com/spreadsheets/d/1YQmKRvoXVfKvPnD--oA8zFRhrVoz8iDSD82l2x_g7fc/edit" TargetMode="External"/><Relationship Id="rId41" Type="http://schemas.openxmlformats.org/officeDocument/2006/relationships/hyperlink" Target="https://docs.google.com/spreadsheets/d/1YQmKRvoXVfKvPnD--oA8zFRhrVoz8iDSD82l2x_g7fc/edit" TargetMode="External"/><Relationship Id="rId54" Type="http://schemas.openxmlformats.org/officeDocument/2006/relationships/hyperlink" Target="https://docs.google.com/spreadsheets/d/1YQmKRvoXVfKvPnD--oA8zFRhrVoz8iDSD82l2x_g7fc/edit" TargetMode="External"/><Relationship Id="rId1" Type="http://schemas.openxmlformats.org/officeDocument/2006/relationships/hyperlink" Target="https://docs.google.com/spreadsheets/d/YOUR_SHEET_ID/edit" TargetMode="External"/><Relationship Id="rId6" Type="http://schemas.openxmlformats.org/officeDocument/2006/relationships/hyperlink" Target="https://docs.google.com/spreadsheets/d/1YQmKRvoXVfKvPnD--oA8zFRhrVoz8iDSD82l2x_g7fc/edit" TargetMode="External"/><Relationship Id="rId11" Type="http://schemas.openxmlformats.org/officeDocument/2006/relationships/hyperlink" Target="https://docs.google.com/spreadsheets/d/1YQmKRvoXVfKvPnD--oA8zFRhrVoz8iDSD82l2x_g7fc/edit" TargetMode="External"/><Relationship Id="rId24" Type="http://schemas.openxmlformats.org/officeDocument/2006/relationships/hyperlink" Target="https://docs.google.com/spreadsheets/d/1YQmKRvoXVfKvPnD--oA8zFRhrVoz8iDSD82l2x_g7fc/edit" TargetMode="External"/><Relationship Id="rId32" Type="http://schemas.openxmlformats.org/officeDocument/2006/relationships/hyperlink" Target="https://docs.google.com/spreadsheets/d/1YQmKRvoXVfKvPnD--oA8zFRhrVoz8iDSD82l2x_g7fc/edit" TargetMode="External"/><Relationship Id="rId37" Type="http://schemas.openxmlformats.org/officeDocument/2006/relationships/hyperlink" Target="https://docs.google.com/spreadsheets/d/1YQmKRvoXVfKvPnD--oA8zFRhrVoz8iDSD82l2x_g7fc/edit" TargetMode="External"/><Relationship Id="rId40" Type="http://schemas.openxmlformats.org/officeDocument/2006/relationships/hyperlink" Target="https://docs.google.com/spreadsheets/d/1YQmKRvoXVfKvPnD--oA8zFRhrVoz8iDSD82l2x_g7fc/edit" TargetMode="External"/><Relationship Id="rId45" Type="http://schemas.openxmlformats.org/officeDocument/2006/relationships/hyperlink" Target="https://docs.google.com/spreadsheets/d/1YQmKRvoXVfKvPnD--oA8zFRhrVoz8iDSD82l2x_g7fc/edit" TargetMode="External"/><Relationship Id="rId53" Type="http://schemas.openxmlformats.org/officeDocument/2006/relationships/hyperlink" Target="https://docs.google.com/spreadsheets/d/1YQmKRvoXVfKvPnD--oA8zFRhrVoz8iDSD82l2x_g7fc/edit" TargetMode="External"/><Relationship Id="rId5" Type="http://schemas.openxmlformats.org/officeDocument/2006/relationships/hyperlink" Target="https://docs.google.com/spreadsheets/d/1YQmKRvoXVfKvPnD--oA8zFRhrVoz8iDSD82l2x_g7fc/edit" TargetMode="External"/><Relationship Id="rId15" Type="http://schemas.openxmlformats.org/officeDocument/2006/relationships/hyperlink" Target="https://docs.google.com/spreadsheets/d/1YQmKRvoXVfKvPnD--oA8zFRhrVoz8iDSD82l2x_g7fc/edit" TargetMode="External"/><Relationship Id="rId23" Type="http://schemas.openxmlformats.org/officeDocument/2006/relationships/hyperlink" Target="https://docs.google.com/spreadsheets/d/1YQmKRvoXVfKvPnD--oA8zFRhrVoz8iDSD82l2x_g7fc/edit" TargetMode="External"/><Relationship Id="rId28" Type="http://schemas.openxmlformats.org/officeDocument/2006/relationships/hyperlink" Target="https://docs.google.com/spreadsheets/d/1YQmKRvoXVfKvPnD--oA8zFRhrVoz8iDSD82l2x_g7fc/edit" TargetMode="External"/><Relationship Id="rId36" Type="http://schemas.openxmlformats.org/officeDocument/2006/relationships/hyperlink" Target="https://docs.google.com/spreadsheets/d/1YQmKRvoXVfKvPnD--oA8zFRhrVoz8iDSD82l2x_g7fc/edit" TargetMode="External"/><Relationship Id="rId49" Type="http://schemas.openxmlformats.org/officeDocument/2006/relationships/hyperlink" Target="https://docs.google.com/spreadsheets/d/1YQmKRvoXVfKvPnD--oA8zFRhrVoz8iDSD82l2x_g7fc/edit" TargetMode="External"/><Relationship Id="rId10" Type="http://schemas.openxmlformats.org/officeDocument/2006/relationships/hyperlink" Target="https://docs.google.com/spreadsheets/d/1YQmKRvoXVfKvPnD--oA8zFRhrVoz8iDSD82l2x_g7fc/edit" TargetMode="External"/><Relationship Id="rId19" Type="http://schemas.openxmlformats.org/officeDocument/2006/relationships/hyperlink" Target="https://docs.google.com/spreadsheets/d/1YQmKRvoXVfKvPnD--oA8zFRhrVoz8iDSD82l2x_g7fc/edit" TargetMode="External"/><Relationship Id="rId31" Type="http://schemas.openxmlformats.org/officeDocument/2006/relationships/hyperlink" Target="https://docs.google.com/spreadsheets/d/1YQmKRvoXVfKvPnD--oA8zFRhrVoz8iDSD82l2x_g7fc/edit" TargetMode="External"/><Relationship Id="rId44" Type="http://schemas.openxmlformats.org/officeDocument/2006/relationships/hyperlink" Target="https://docs.google.com/spreadsheets/d/1YQmKRvoXVfKvPnD--oA8zFRhrVoz8iDSD82l2x_g7fc/edit" TargetMode="External"/><Relationship Id="rId52" Type="http://schemas.openxmlformats.org/officeDocument/2006/relationships/hyperlink" Target="https://docs.google.com/spreadsheets/d/1YQmKRvoXVfKvPnD--oA8zFRhrVoz8iDSD82l2x_g7fc/edit" TargetMode="External"/><Relationship Id="rId4" Type="http://schemas.openxmlformats.org/officeDocument/2006/relationships/hyperlink" Target="https://docs.google.com/spreadsheets/d/1YQmKRvoXVfKvPnD--oA8zFRhrVoz8iDSD82l2x_g7fc/edit" TargetMode="External"/><Relationship Id="rId9" Type="http://schemas.openxmlformats.org/officeDocument/2006/relationships/hyperlink" Target="https://docs.google.com/spreadsheets/d/1YQmKRvoXVfKvPnD--oA8zFRhrVoz8iDSD82l2x_g7fc/edit" TargetMode="External"/><Relationship Id="rId14" Type="http://schemas.openxmlformats.org/officeDocument/2006/relationships/hyperlink" Target="https://docs.google.com/spreadsheets/d/1YQmKRvoXVfKvPnD--oA8zFRhrVoz8iDSD82l2x_g7fc/edit" TargetMode="External"/><Relationship Id="rId22" Type="http://schemas.openxmlformats.org/officeDocument/2006/relationships/hyperlink" Target="https://docs.google.com/spreadsheets/d/1YQmKRvoXVfKvPnD--oA8zFRhrVoz8iDSD82l2x_g7fc/edit" TargetMode="External"/><Relationship Id="rId27" Type="http://schemas.openxmlformats.org/officeDocument/2006/relationships/hyperlink" Target="https://docs.google.com/spreadsheets/d/1YQmKRvoXVfKvPnD--oA8zFRhrVoz8iDSD82l2x_g7fc/edit" TargetMode="External"/><Relationship Id="rId30" Type="http://schemas.openxmlformats.org/officeDocument/2006/relationships/hyperlink" Target="https://docs.google.com/spreadsheets/d/1YQmKRvoXVfKvPnD--oA8zFRhrVoz8iDSD82l2x_g7fc/edit" TargetMode="External"/><Relationship Id="rId35" Type="http://schemas.openxmlformats.org/officeDocument/2006/relationships/hyperlink" Target="https://docs.google.com/spreadsheets/d/1YQmKRvoXVfKvPnD--oA8zFRhrVoz8iDSD82l2x_g7fc/edit" TargetMode="External"/><Relationship Id="rId43" Type="http://schemas.openxmlformats.org/officeDocument/2006/relationships/hyperlink" Target="https://docs.google.com/spreadsheets/d/1YQmKRvoXVfKvPnD--oA8zFRhrVoz8iDSD82l2x_g7fc/edit" TargetMode="External"/><Relationship Id="rId48" Type="http://schemas.openxmlformats.org/officeDocument/2006/relationships/hyperlink" Target="https://docs.google.com/spreadsheets/d/1YQmKRvoXVfKvPnD--oA8zFRhrVoz8iDSD82l2x_g7fc/edit" TargetMode="External"/><Relationship Id="rId56" Type="http://schemas.openxmlformats.org/officeDocument/2006/relationships/hyperlink" Target="https://docs.google.com/spreadsheets/d/1YQmKRvoXVfKvPnD--oA8zFRhrVoz8iDSD82l2x_g7fc/edit" TargetMode="External"/><Relationship Id="rId8" Type="http://schemas.openxmlformats.org/officeDocument/2006/relationships/hyperlink" Target="https://docs.google.com/spreadsheets/d/1YQmKRvoXVfKvPnD--oA8zFRhrVoz8iDSD82l2x_g7fc/edit" TargetMode="External"/><Relationship Id="rId51" Type="http://schemas.openxmlformats.org/officeDocument/2006/relationships/hyperlink" Target="https://docs.google.com/spreadsheets/d/1YQmKRvoXVfKvPnD--oA8zFRhrVoz8iDSD82l2x_g7fc/edit" TargetMode="External"/><Relationship Id="rId3" Type="http://schemas.openxmlformats.org/officeDocument/2006/relationships/hyperlink" Target="https://docs.google.com/spreadsheets/d/1YQmKRvoXVfKvPnD--oA8zFRhrVoz8iDSD82l2x_g7f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pane xSplit="2" ySplit="1" topLeftCell="AA2" activePane="bottomRight" state="frozen"/>
      <selection pane="topRight" activeCell="C1" sqref="C1"/>
      <selection pane="bottomLeft" activeCell="A2" sqref="A2"/>
      <selection pane="bottomRight" activeCell="AA2" sqref="AA2"/>
    </sheetView>
  </sheetViews>
  <sheetFormatPr defaultColWidth="14.42578125" defaultRowHeight="15" customHeight="1" x14ac:dyDescent="0.25"/>
  <cols>
    <col min="1" max="1" width="22.28515625" customWidth="1"/>
    <col min="2" max="2" width="41.7109375" customWidth="1"/>
    <col min="3" max="5" width="24" hidden="1" customWidth="1"/>
    <col min="6" max="6" width="30.7109375" customWidth="1"/>
    <col min="7" max="7" width="24" hidden="1" customWidth="1"/>
    <col min="8" max="8" width="13.42578125" customWidth="1"/>
    <col min="9" max="9" width="17.28515625" customWidth="1"/>
    <col min="10" max="10" width="24" hidden="1" customWidth="1"/>
    <col min="11" max="11" width="8.28515625" customWidth="1"/>
    <col min="12" max="12" width="5.5703125" customWidth="1"/>
    <col min="13" max="13" width="9.28515625" customWidth="1"/>
    <col min="14" max="14" width="19.85546875" customWidth="1"/>
    <col min="15" max="15" width="21" customWidth="1"/>
    <col min="16" max="16" width="14.7109375" customWidth="1"/>
    <col min="17" max="17" width="32.28515625" customWidth="1"/>
    <col min="18" max="18" width="24.42578125" customWidth="1"/>
    <col min="19" max="19" width="15.85546875" customWidth="1"/>
    <col min="20" max="20" width="17" customWidth="1"/>
    <col min="21" max="21" width="9.5703125" customWidth="1"/>
    <col min="22" max="22" width="16.28515625" customWidth="1"/>
    <col min="23" max="23" width="10.5703125" customWidth="1"/>
    <col min="24" max="24" width="15.7109375" customWidth="1"/>
    <col min="25" max="25" width="101.42578125" customWidth="1"/>
    <col min="26" max="26" width="111" customWidth="1"/>
    <col min="27" max="27" width="15.42578125" customWidth="1"/>
    <col min="28" max="28" width="8.7109375" customWidth="1"/>
    <col min="29" max="29" width="19.85546875" customWidth="1"/>
    <col min="30" max="30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 ht="15" customHeight="1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H2" s="2">
        <v>10</v>
      </c>
      <c r="I2" s="2">
        <v>10</v>
      </c>
      <c r="J2" s="2" t="s">
        <v>34</v>
      </c>
      <c r="K2" t="s">
        <v>245</v>
      </c>
      <c r="L2">
        <v>1</v>
      </c>
      <c r="M2">
        <v>101</v>
      </c>
      <c r="N2" t="s">
        <v>247</v>
      </c>
      <c r="O2" t="s">
        <v>246</v>
      </c>
      <c r="P2" t="s">
        <v>248</v>
      </c>
      <c r="Q2" t="s">
        <v>249</v>
      </c>
      <c r="R2" s="2">
        <v>10</v>
      </c>
      <c r="S2" s="2">
        <f t="shared" ref="S2:S30" si="0">H2-R2</f>
        <v>0</v>
      </c>
      <c r="T2" s="7" t="s">
        <v>250</v>
      </c>
      <c r="U2" s="7" t="s">
        <v>251</v>
      </c>
      <c r="V2" s="7" t="s">
        <v>252</v>
      </c>
      <c r="W2" s="7" t="s">
        <v>253</v>
      </c>
      <c r="X2" s="8">
        <v>46156</v>
      </c>
      <c r="Y2" s="3" t="s">
        <v>35</v>
      </c>
      <c r="Z2" s="3" t="s">
        <v>36</v>
      </c>
      <c r="AC2" s="4"/>
    </row>
    <row r="3" spans="1:29" x14ac:dyDescent="0.25">
      <c r="A3" s="2" t="s">
        <v>37</v>
      </c>
      <c r="B3" s="2" t="s">
        <v>38</v>
      </c>
      <c r="C3" s="2" t="s">
        <v>39</v>
      </c>
      <c r="D3" s="2" t="s">
        <v>31</v>
      </c>
      <c r="E3" s="2" t="s">
        <v>32</v>
      </c>
      <c r="F3" s="2" t="s">
        <v>33</v>
      </c>
      <c r="H3" s="2">
        <v>1</v>
      </c>
      <c r="I3" s="2">
        <v>1</v>
      </c>
      <c r="J3" s="2" t="s">
        <v>40</v>
      </c>
      <c r="R3" s="2">
        <v>0</v>
      </c>
      <c r="S3" s="2">
        <f t="shared" si="0"/>
        <v>1</v>
      </c>
      <c r="T3" s="2"/>
      <c r="U3" s="2"/>
      <c r="V3" s="2"/>
      <c r="Y3" s="5" t="s">
        <v>41</v>
      </c>
      <c r="Z3" s="3" t="s">
        <v>42</v>
      </c>
    </row>
    <row r="4" spans="1:29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32</v>
      </c>
      <c r="F4" s="2" t="s">
        <v>33</v>
      </c>
      <c r="H4" s="2">
        <v>100</v>
      </c>
      <c r="I4" s="2">
        <v>100</v>
      </c>
      <c r="J4" s="2" t="s">
        <v>47</v>
      </c>
      <c r="R4" s="2">
        <v>0</v>
      </c>
      <c r="S4" s="2">
        <f t="shared" si="0"/>
        <v>100</v>
      </c>
      <c r="T4" s="2"/>
      <c r="U4" s="2"/>
      <c r="V4" s="2"/>
      <c r="Y4" s="5" t="s">
        <v>48</v>
      </c>
      <c r="Z4" s="3" t="s">
        <v>49</v>
      </c>
    </row>
    <row r="5" spans="1:29" x14ac:dyDescent="0.25">
      <c r="A5" s="2" t="s">
        <v>50</v>
      </c>
      <c r="B5" s="2" t="s">
        <v>51</v>
      </c>
      <c r="C5" s="2" t="s">
        <v>52</v>
      </c>
      <c r="D5" s="2" t="s">
        <v>31</v>
      </c>
      <c r="E5" s="2" t="s">
        <v>32</v>
      </c>
      <c r="F5" s="2" t="s">
        <v>53</v>
      </c>
      <c r="H5" s="2">
        <v>1</v>
      </c>
      <c r="I5" s="2">
        <v>1</v>
      </c>
      <c r="J5" s="2" t="s">
        <v>54</v>
      </c>
      <c r="R5" s="2">
        <v>0</v>
      </c>
      <c r="S5" s="2">
        <f t="shared" si="0"/>
        <v>1</v>
      </c>
      <c r="T5" s="2"/>
      <c r="U5" s="2"/>
      <c r="V5" s="2"/>
      <c r="Y5" s="5" t="s">
        <v>55</v>
      </c>
      <c r="Z5" s="3" t="s">
        <v>56</v>
      </c>
    </row>
    <row r="6" spans="1:29" x14ac:dyDescent="0.25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H6" s="2">
        <v>16</v>
      </c>
      <c r="I6" s="2">
        <v>16</v>
      </c>
      <c r="J6" s="2" t="s">
        <v>63</v>
      </c>
      <c r="R6" s="2">
        <v>0</v>
      </c>
      <c r="S6" s="2">
        <f t="shared" si="0"/>
        <v>16</v>
      </c>
      <c r="T6" s="2"/>
      <c r="U6" s="2"/>
      <c r="V6" s="2"/>
      <c r="Y6" s="5" t="s">
        <v>64</v>
      </c>
      <c r="Z6" s="3" t="s">
        <v>65</v>
      </c>
    </row>
    <row r="7" spans="1:29" x14ac:dyDescent="0.25">
      <c r="A7" s="2" t="s">
        <v>66</v>
      </c>
      <c r="B7" s="2" t="s">
        <v>67</v>
      </c>
      <c r="C7" s="2" t="s">
        <v>68</v>
      </c>
      <c r="D7" s="2" t="s">
        <v>69</v>
      </c>
      <c r="E7" s="2" t="s">
        <v>61</v>
      </c>
      <c r="F7" s="2" t="s">
        <v>70</v>
      </c>
      <c r="H7" s="2">
        <v>1</v>
      </c>
      <c r="I7" s="2">
        <v>1</v>
      </c>
      <c r="J7" s="2" t="s">
        <v>71</v>
      </c>
      <c r="R7" s="2">
        <v>0</v>
      </c>
      <c r="S7" s="2">
        <f t="shared" si="0"/>
        <v>1</v>
      </c>
      <c r="T7" s="2"/>
      <c r="U7" s="2"/>
      <c r="V7" s="2"/>
      <c r="Y7" s="3" t="s">
        <v>72</v>
      </c>
      <c r="Z7" s="3" t="s">
        <v>73</v>
      </c>
    </row>
    <row r="8" spans="1:29" x14ac:dyDescent="0.25">
      <c r="A8" s="2" t="s">
        <v>74</v>
      </c>
      <c r="B8" s="2" t="s">
        <v>75</v>
      </c>
      <c r="C8" s="2" t="s">
        <v>76</v>
      </c>
      <c r="D8" s="2" t="s">
        <v>77</v>
      </c>
      <c r="E8" s="2" t="s">
        <v>61</v>
      </c>
      <c r="F8" s="2" t="s">
        <v>78</v>
      </c>
      <c r="H8" s="2">
        <v>1</v>
      </c>
      <c r="I8" s="2">
        <v>1</v>
      </c>
      <c r="J8" s="2" t="s">
        <v>79</v>
      </c>
      <c r="R8" s="2">
        <v>0</v>
      </c>
      <c r="S8" s="2">
        <f t="shared" si="0"/>
        <v>1</v>
      </c>
      <c r="T8" s="2"/>
      <c r="U8" s="2"/>
      <c r="V8" s="2"/>
      <c r="Y8" s="5" t="s">
        <v>80</v>
      </c>
      <c r="Z8" s="3" t="s">
        <v>81</v>
      </c>
    </row>
    <row r="9" spans="1:29" x14ac:dyDescent="0.25">
      <c r="A9" s="2" t="s">
        <v>82</v>
      </c>
      <c r="B9" s="2" t="s">
        <v>75</v>
      </c>
      <c r="C9" s="2" t="s">
        <v>76</v>
      </c>
      <c r="D9" s="2" t="s">
        <v>77</v>
      </c>
      <c r="E9" s="2" t="s">
        <v>61</v>
      </c>
      <c r="F9" s="2" t="s">
        <v>78</v>
      </c>
      <c r="H9" s="2">
        <v>1</v>
      </c>
      <c r="I9" s="2">
        <v>1</v>
      </c>
      <c r="J9" s="2" t="s">
        <v>83</v>
      </c>
      <c r="R9" s="2">
        <v>0</v>
      </c>
      <c r="S9" s="2">
        <f t="shared" si="0"/>
        <v>1</v>
      </c>
      <c r="T9" s="2"/>
      <c r="U9" s="2"/>
      <c r="V9" s="2"/>
      <c r="Y9" s="5" t="s">
        <v>84</v>
      </c>
      <c r="Z9" s="3" t="s">
        <v>85</v>
      </c>
    </row>
    <row r="10" spans="1:29" x14ac:dyDescent="0.25">
      <c r="A10" s="2" t="s">
        <v>86</v>
      </c>
      <c r="B10" s="2" t="s">
        <v>87</v>
      </c>
      <c r="C10" s="2" t="s">
        <v>76</v>
      </c>
      <c r="D10" s="2" t="s">
        <v>77</v>
      </c>
      <c r="E10" s="2" t="s">
        <v>61</v>
      </c>
      <c r="F10" s="2" t="s">
        <v>78</v>
      </c>
      <c r="H10" s="2">
        <v>19</v>
      </c>
      <c r="I10" s="2">
        <v>19</v>
      </c>
      <c r="J10" s="2" t="s">
        <v>88</v>
      </c>
      <c r="R10" s="2">
        <v>0</v>
      </c>
      <c r="S10" s="2">
        <f t="shared" si="0"/>
        <v>19</v>
      </c>
      <c r="T10" s="2"/>
      <c r="U10" s="2"/>
      <c r="V10" s="2"/>
      <c r="Y10" s="5" t="s">
        <v>89</v>
      </c>
      <c r="Z10" s="3" t="s">
        <v>90</v>
      </c>
    </row>
    <row r="11" spans="1:29" x14ac:dyDescent="0.25">
      <c r="A11" s="2" t="s">
        <v>91</v>
      </c>
      <c r="B11" s="2" t="s">
        <v>75</v>
      </c>
      <c r="C11" s="2" t="s">
        <v>76</v>
      </c>
      <c r="D11" s="2" t="s">
        <v>77</v>
      </c>
      <c r="E11" s="2" t="s">
        <v>61</v>
      </c>
      <c r="F11" s="2" t="s">
        <v>78</v>
      </c>
      <c r="H11" s="2">
        <v>47</v>
      </c>
      <c r="I11" s="2">
        <v>47</v>
      </c>
      <c r="J11" s="2" t="s">
        <v>92</v>
      </c>
      <c r="R11" s="2">
        <v>0</v>
      </c>
      <c r="S11" s="2">
        <f t="shared" si="0"/>
        <v>47</v>
      </c>
      <c r="T11" s="2"/>
      <c r="U11" s="2"/>
      <c r="V11" s="2"/>
      <c r="Y11" s="5" t="s">
        <v>93</v>
      </c>
      <c r="Z11" s="3" t="s">
        <v>94</v>
      </c>
    </row>
    <row r="12" spans="1:29" x14ac:dyDescent="0.25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61</v>
      </c>
      <c r="F12" s="2" t="s">
        <v>78</v>
      </c>
      <c r="H12" s="2">
        <v>1</v>
      </c>
      <c r="I12" s="2">
        <v>1</v>
      </c>
      <c r="J12" s="2" t="s">
        <v>99</v>
      </c>
      <c r="R12" s="2">
        <f t="shared" ref="R12:R30" si="1">H12-I12</f>
        <v>0</v>
      </c>
      <c r="S12" s="2">
        <f t="shared" si="0"/>
        <v>1</v>
      </c>
      <c r="T12" s="2"/>
      <c r="U12" s="2"/>
      <c r="V12" s="2"/>
      <c r="Y12" s="5" t="s">
        <v>100</v>
      </c>
      <c r="Z12" s="3" t="s">
        <v>101</v>
      </c>
    </row>
    <row r="13" spans="1:29" x14ac:dyDescent="0.25">
      <c r="A13" s="2" t="s">
        <v>102</v>
      </c>
      <c r="B13" s="2" t="s">
        <v>103</v>
      </c>
      <c r="C13" s="2" t="s">
        <v>104</v>
      </c>
      <c r="D13" s="2" t="s">
        <v>105</v>
      </c>
      <c r="E13" s="2" t="s">
        <v>61</v>
      </c>
      <c r="F13" s="2" t="s">
        <v>78</v>
      </c>
      <c r="H13" s="2">
        <v>1</v>
      </c>
      <c r="I13" s="2">
        <v>1</v>
      </c>
      <c r="J13" s="2" t="s">
        <v>106</v>
      </c>
      <c r="R13" s="2">
        <f t="shared" si="1"/>
        <v>0</v>
      </c>
      <c r="S13" s="2">
        <f t="shared" si="0"/>
        <v>1</v>
      </c>
      <c r="T13" s="2"/>
      <c r="U13" s="2"/>
      <c r="V13" s="2"/>
      <c r="Y13" s="5" t="s">
        <v>107</v>
      </c>
      <c r="Z13" s="3" t="s">
        <v>108</v>
      </c>
    </row>
    <row r="14" spans="1:29" x14ac:dyDescent="0.25">
      <c r="A14" s="2" t="s">
        <v>109</v>
      </c>
      <c r="B14" s="2" t="s">
        <v>110</v>
      </c>
      <c r="C14" s="2" t="s">
        <v>111</v>
      </c>
      <c r="D14" s="2" t="s">
        <v>112</v>
      </c>
      <c r="E14" s="2" t="s">
        <v>61</v>
      </c>
      <c r="F14" s="2" t="s">
        <v>78</v>
      </c>
      <c r="H14" s="2">
        <v>1</v>
      </c>
      <c r="I14" s="2">
        <v>1</v>
      </c>
      <c r="J14" s="2" t="s">
        <v>113</v>
      </c>
      <c r="R14" s="2">
        <f t="shared" si="1"/>
        <v>0</v>
      </c>
      <c r="S14" s="2">
        <f t="shared" si="0"/>
        <v>1</v>
      </c>
      <c r="T14" s="2"/>
      <c r="U14" s="2"/>
      <c r="V14" s="2"/>
      <c r="Y14" s="5" t="s">
        <v>114</v>
      </c>
      <c r="Z14" s="3" t="s">
        <v>115</v>
      </c>
    </row>
    <row r="15" spans="1:29" x14ac:dyDescent="0.2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61</v>
      </c>
      <c r="F15" s="2" t="s">
        <v>78</v>
      </c>
      <c r="H15" s="2">
        <v>1</v>
      </c>
      <c r="I15" s="2">
        <v>1</v>
      </c>
      <c r="J15" s="2" t="s">
        <v>120</v>
      </c>
      <c r="R15" s="2">
        <f t="shared" si="1"/>
        <v>0</v>
      </c>
      <c r="S15" s="2">
        <f t="shared" si="0"/>
        <v>1</v>
      </c>
      <c r="T15" s="2"/>
      <c r="U15" s="2"/>
      <c r="V15" s="2"/>
      <c r="Y15" s="5" t="s">
        <v>121</v>
      </c>
      <c r="Z15" s="3" t="s">
        <v>122</v>
      </c>
    </row>
    <row r="16" spans="1:29" x14ac:dyDescent="0.25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61</v>
      </c>
      <c r="F16" s="2" t="s">
        <v>78</v>
      </c>
      <c r="H16" s="2">
        <v>1</v>
      </c>
      <c r="I16" s="2">
        <v>1</v>
      </c>
      <c r="J16" s="2" t="s">
        <v>127</v>
      </c>
      <c r="R16" s="2">
        <f t="shared" si="1"/>
        <v>0</v>
      </c>
      <c r="S16" s="2">
        <f t="shared" si="0"/>
        <v>1</v>
      </c>
      <c r="T16" s="2"/>
      <c r="U16" s="2"/>
      <c r="V16" s="2"/>
      <c r="Y16" s="5" t="s">
        <v>128</v>
      </c>
      <c r="Z16" s="3" t="s">
        <v>129</v>
      </c>
    </row>
    <row r="17" spans="1:26" x14ac:dyDescent="0.25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2" t="s">
        <v>135</v>
      </c>
      <c r="H17" s="2">
        <v>1</v>
      </c>
      <c r="I17" s="2">
        <v>1</v>
      </c>
      <c r="J17" s="2" t="s">
        <v>136</v>
      </c>
      <c r="R17" s="2">
        <f t="shared" si="1"/>
        <v>0</v>
      </c>
      <c r="S17" s="2">
        <f t="shared" si="0"/>
        <v>1</v>
      </c>
      <c r="T17" s="2"/>
      <c r="U17" s="2"/>
      <c r="V17" s="2"/>
      <c r="Y17" s="5" t="s">
        <v>137</v>
      </c>
      <c r="Z17" s="3" t="s">
        <v>138</v>
      </c>
    </row>
    <row r="18" spans="1:26" x14ac:dyDescent="0.25">
      <c r="A18" s="2" t="s">
        <v>139</v>
      </c>
      <c r="B18" s="2" t="s">
        <v>67</v>
      </c>
      <c r="C18" s="2" t="s">
        <v>140</v>
      </c>
      <c r="D18" s="2" t="s">
        <v>141</v>
      </c>
      <c r="E18" s="2" t="s">
        <v>61</v>
      </c>
      <c r="F18" s="2" t="s">
        <v>70</v>
      </c>
      <c r="H18" s="2">
        <v>1</v>
      </c>
      <c r="I18" s="2">
        <v>1</v>
      </c>
      <c r="J18" s="2" t="s">
        <v>142</v>
      </c>
      <c r="R18" s="2">
        <f t="shared" si="1"/>
        <v>0</v>
      </c>
      <c r="S18" s="2">
        <f t="shared" si="0"/>
        <v>1</v>
      </c>
      <c r="T18" s="2"/>
      <c r="U18" s="2"/>
      <c r="V18" s="2"/>
      <c r="Y18" s="5" t="s">
        <v>143</v>
      </c>
      <c r="Z18" s="3" t="s">
        <v>144</v>
      </c>
    </row>
    <row r="19" spans="1:26" x14ac:dyDescent="0.25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61</v>
      </c>
      <c r="F19" s="2" t="s">
        <v>149</v>
      </c>
      <c r="H19" s="2">
        <v>1</v>
      </c>
      <c r="I19" s="2">
        <v>1</v>
      </c>
      <c r="J19" s="2" t="s">
        <v>150</v>
      </c>
      <c r="R19" s="2">
        <f t="shared" si="1"/>
        <v>0</v>
      </c>
      <c r="S19" s="2">
        <f t="shared" si="0"/>
        <v>1</v>
      </c>
      <c r="T19" s="2"/>
      <c r="U19" s="2"/>
      <c r="V19" s="2"/>
      <c r="Y19" s="5" t="s">
        <v>151</v>
      </c>
      <c r="Z19" s="3" t="s">
        <v>152</v>
      </c>
    </row>
    <row r="20" spans="1:26" x14ac:dyDescent="0.25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61</v>
      </c>
      <c r="F20" s="2" t="s">
        <v>62</v>
      </c>
      <c r="H20" s="2">
        <v>1</v>
      </c>
      <c r="I20" s="2">
        <v>1</v>
      </c>
      <c r="J20" s="2" t="s">
        <v>157</v>
      </c>
      <c r="R20" s="2">
        <f t="shared" si="1"/>
        <v>0</v>
      </c>
      <c r="S20" s="2">
        <f t="shared" si="0"/>
        <v>1</v>
      </c>
      <c r="T20" s="2"/>
      <c r="U20" s="2"/>
      <c r="V20" s="2"/>
      <c r="Y20" s="5" t="s">
        <v>158</v>
      </c>
      <c r="Z20" s="3" t="s">
        <v>159</v>
      </c>
    </row>
    <row r="21" spans="1:26" x14ac:dyDescent="0.25">
      <c r="A21" s="2" t="s">
        <v>160</v>
      </c>
      <c r="B21" s="2" t="s">
        <v>161</v>
      </c>
      <c r="C21" s="2" t="s">
        <v>162</v>
      </c>
      <c r="D21" s="2" t="s">
        <v>163</v>
      </c>
      <c r="E21" s="2" t="s">
        <v>164</v>
      </c>
      <c r="F21" s="2" t="s">
        <v>165</v>
      </c>
      <c r="G21" s="2" t="s">
        <v>162</v>
      </c>
      <c r="H21" s="2">
        <v>1</v>
      </c>
      <c r="I21" s="2">
        <v>1</v>
      </c>
      <c r="J21" s="2" t="s">
        <v>166</v>
      </c>
      <c r="R21" s="2">
        <f t="shared" si="1"/>
        <v>0</v>
      </c>
      <c r="S21" s="2">
        <f t="shared" si="0"/>
        <v>1</v>
      </c>
      <c r="T21" s="2"/>
      <c r="U21" s="2"/>
      <c r="V21" s="2"/>
      <c r="Y21" s="5" t="s">
        <v>167</v>
      </c>
      <c r="Z21" s="3" t="s">
        <v>168</v>
      </c>
    </row>
    <row r="22" spans="1:26" x14ac:dyDescent="0.25">
      <c r="A22" s="2" t="s">
        <v>169</v>
      </c>
      <c r="B22" s="2" t="s">
        <v>170</v>
      </c>
      <c r="C22" s="2" t="s">
        <v>171</v>
      </c>
      <c r="D22" s="2" t="s">
        <v>172</v>
      </c>
      <c r="E22" s="2" t="s">
        <v>164</v>
      </c>
      <c r="F22" s="2" t="s">
        <v>173</v>
      </c>
      <c r="G22" s="2" t="s">
        <v>171</v>
      </c>
      <c r="H22" s="2">
        <v>1</v>
      </c>
      <c r="I22" s="2">
        <v>1</v>
      </c>
      <c r="J22" s="2" t="s">
        <v>174</v>
      </c>
      <c r="R22" s="2">
        <f t="shared" si="1"/>
        <v>0</v>
      </c>
      <c r="S22" s="2">
        <f t="shared" si="0"/>
        <v>1</v>
      </c>
      <c r="T22" s="2"/>
      <c r="U22" s="2"/>
      <c r="V22" s="2"/>
      <c r="Y22" s="5" t="s">
        <v>175</v>
      </c>
      <c r="Z22" s="3" t="s">
        <v>176</v>
      </c>
    </row>
    <row r="23" spans="1:26" x14ac:dyDescent="0.25">
      <c r="A23" s="2" t="s">
        <v>177</v>
      </c>
      <c r="B23" s="2" t="s">
        <v>58</v>
      </c>
      <c r="C23" s="2" t="s">
        <v>178</v>
      </c>
      <c r="D23" s="2" t="s">
        <v>179</v>
      </c>
      <c r="E23" s="2" t="s">
        <v>61</v>
      </c>
      <c r="F23" s="2" t="s">
        <v>62</v>
      </c>
      <c r="G23" s="2" t="s">
        <v>178</v>
      </c>
      <c r="H23" s="2">
        <v>1</v>
      </c>
      <c r="I23" s="2">
        <v>1</v>
      </c>
      <c r="J23" s="2" t="s">
        <v>180</v>
      </c>
      <c r="R23" s="2">
        <f t="shared" si="1"/>
        <v>0</v>
      </c>
      <c r="S23" s="2">
        <f t="shared" si="0"/>
        <v>1</v>
      </c>
      <c r="T23" s="2"/>
      <c r="U23" s="2"/>
      <c r="V23" s="2"/>
      <c r="Y23" s="5" t="s">
        <v>181</v>
      </c>
      <c r="Z23" s="3" t="s">
        <v>182</v>
      </c>
    </row>
    <row r="24" spans="1:26" x14ac:dyDescent="0.25">
      <c r="A24" s="2" t="s">
        <v>183</v>
      </c>
      <c r="B24" s="2" t="s">
        <v>184</v>
      </c>
      <c r="C24" s="2" t="s">
        <v>185</v>
      </c>
      <c r="D24" s="2" t="s">
        <v>186</v>
      </c>
      <c r="E24" s="2" t="s">
        <v>164</v>
      </c>
      <c r="F24" s="2" t="s">
        <v>187</v>
      </c>
      <c r="H24" s="2">
        <v>1</v>
      </c>
      <c r="I24" s="2">
        <v>1</v>
      </c>
      <c r="J24" s="2" t="s">
        <v>188</v>
      </c>
      <c r="R24" s="2">
        <f t="shared" si="1"/>
        <v>0</v>
      </c>
      <c r="S24" s="2">
        <f t="shared" si="0"/>
        <v>1</v>
      </c>
      <c r="T24" s="2"/>
      <c r="U24" s="2"/>
      <c r="V24" s="2"/>
      <c r="Y24" s="5" t="s">
        <v>189</v>
      </c>
      <c r="Z24" s="3" t="s">
        <v>190</v>
      </c>
    </row>
    <row r="25" spans="1:26" x14ac:dyDescent="0.25">
      <c r="A25" s="2" t="s">
        <v>191</v>
      </c>
      <c r="B25" s="2" t="s">
        <v>192</v>
      </c>
      <c r="C25" s="2" t="s">
        <v>193</v>
      </c>
      <c r="D25" s="2" t="s">
        <v>194</v>
      </c>
      <c r="E25" s="2" t="s">
        <v>32</v>
      </c>
      <c r="F25" s="2" t="s">
        <v>195</v>
      </c>
      <c r="G25" s="2" t="s">
        <v>193</v>
      </c>
      <c r="H25" s="2">
        <v>1</v>
      </c>
      <c r="I25" s="2">
        <v>1</v>
      </c>
      <c r="J25" s="2" t="s">
        <v>196</v>
      </c>
      <c r="R25" s="2">
        <f t="shared" si="1"/>
        <v>0</v>
      </c>
      <c r="S25" s="2">
        <f t="shared" si="0"/>
        <v>1</v>
      </c>
      <c r="T25" s="2"/>
      <c r="U25" s="2"/>
      <c r="V25" s="2"/>
      <c r="Y25" s="5" t="s">
        <v>197</v>
      </c>
      <c r="Z25" s="3" t="s">
        <v>198</v>
      </c>
    </row>
    <row r="26" spans="1:26" x14ac:dyDescent="0.25">
      <c r="A26" s="2" t="s">
        <v>199</v>
      </c>
      <c r="B26" s="2" t="s">
        <v>200</v>
      </c>
      <c r="C26" s="2" t="s">
        <v>201</v>
      </c>
      <c r="D26" s="2" t="s">
        <v>202</v>
      </c>
      <c r="E26" s="2" t="s">
        <v>203</v>
      </c>
      <c r="F26" s="2" t="s">
        <v>204</v>
      </c>
      <c r="H26" s="2">
        <v>1</v>
      </c>
      <c r="I26" s="2">
        <v>1</v>
      </c>
      <c r="J26" s="2" t="s">
        <v>205</v>
      </c>
      <c r="R26" s="2">
        <f t="shared" si="1"/>
        <v>0</v>
      </c>
      <c r="S26" s="2">
        <f t="shared" si="0"/>
        <v>1</v>
      </c>
      <c r="T26" s="2"/>
      <c r="U26" s="2"/>
      <c r="V26" s="2"/>
      <c r="Y26" s="5" t="s">
        <v>206</v>
      </c>
      <c r="Z26" s="3" t="s">
        <v>207</v>
      </c>
    </row>
    <row r="27" spans="1:26" x14ac:dyDescent="0.25">
      <c r="A27" s="2" t="s">
        <v>208</v>
      </c>
      <c r="B27" s="2" t="s">
        <v>209</v>
      </c>
      <c r="C27" s="2" t="s">
        <v>210</v>
      </c>
      <c r="D27" s="2" t="s">
        <v>211</v>
      </c>
      <c r="E27" s="2" t="s">
        <v>164</v>
      </c>
      <c r="F27" s="2" t="s">
        <v>212</v>
      </c>
      <c r="G27" s="2" t="s">
        <v>210</v>
      </c>
      <c r="H27" s="2">
        <v>1</v>
      </c>
      <c r="I27" s="2">
        <v>1</v>
      </c>
      <c r="J27" s="2" t="s">
        <v>213</v>
      </c>
      <c r="R27" s="2">
        <f t="shared" si="1"/>
        <v>0</v>
      </c>
      <c r="S27" s="2">
        <f t="shared" si="0"/>
        <v>1</v>
      </c>
      <c r="T27" s="2"/>
      <c r="U27" s="2"/>
      <c r="V27" s="2"/>
      <c r="Y27" s="5" t="s">
        <v>214</v>
      </c>
      <c r="Z27" s="3" t="s">
        <v>215</v>
      </c>
    </row>
    <row r="28" spans="1:26" x14ac:dyDescent="0.25">
      <c r="A28" s="2" t="s">
        <v>216</v>
      </c>
      <c r="B28" s="2" t="s">
        <v>217</v>
      </c>
      <c r="C28" s="2" t="s">
        <v>218</v>
      </c>
      <c r="D28" s="2" t="s">
        <v>194</v>
      </c>
      <c r="E28" s="2" t="s">
        <v>32</v>
      </c>
      <c r="F28" s="2" t="s">
        <v>195</v>
      </c>
      <c r="G28" s="2" t="s">
        <v>218</v>
      </c>
      <c r="H28" s="2">
        <v>1</v>
      </c>
      <c r="I28" s="2">
        <v>1</v>
      </c>
      <c r="J28" s="2" t="s">
        <v>219</v>
      </c>
      <c r="R28" s="2">
        <f t="shared" si="1"/>
        <v>0</v>
      </c>
      <c r="S28" s="2">
        <f t="shared" si="0"/>
        <v>1</v>
      </c>
      <c r="T28" s="2"/>
      <c r="U28" s="2"/>
      <c r="V28" s="2"/>
      <c r="Y28" s="5" t="s">
        <v>220</v>
      </c>
      <c r="Z28" s="3" t="s">
        <v>221</v>
      </c>
    </row>
    <row r="29" spans="1:26" x14ac:dyDescent="0.25">
      <c r="A29" s="2" t="s">
        <v>222</v>
      </c>
      <c r="B29" s="2" t="s">
        <v>223</v>
      </c>
      <c r="C29" s="2" t="s">
        <v>224</v>
      </c>
      <c r="D29" s="2" t="s">
        <v>225</v>
      </c>
      <c r="E29" s="2" t="s">
        <v>61</v>
      </c>
      <c r="F29" s="2" t="s">
        <v>226</v>
      </c>
      <c r="G29" s="2" t="s">
        <v>224</v>
      </c>
      <c r="H29" s="2">
        <v>1</v>
      </c>
      <c r="I29" s="2">
        <v>1</v>
      </c>
      <c r="J29" s="2" t="s">
        <v>227</v>
      </c>
      <c r="R29" s="2">
        <f t="shared" si="1"/>
        <v>0</v>
      </c>
      <c r="S29" s="2">
        <f t="shared" si="0"/>
        <v>1</v>
      </c>
      <c r="T29" s="2"/>
      <c r="U29" s="2"/>
      <c r="V29" s="2"/>
      <c r="Y29" s="5" t="s">
        <v>228</v>
      </c>
      <c r="Z29" s="3" t="s">
        <v>229</v>
      </c>
    </row>
    <row r="30" spans="1:26" x14ac:dyDescent="0.25">
      <c r="A30" s="2" t="s">
        <v>230</v>
      </c>
      <c r="B30" s="2" t="s">
        <v>231</v>
      </c>
      <c r="C30" s="2" t="s">
        <v>232</v>
      </c>
      <c r="D30" s="2" t="s">
        <v>233</v>
      </c>
      <c r="E30" s="2" t="s">
        <v>61</v>
      </c>
      <c r="F30" s="2" t="s">
        <v>78</v>
      </c>
      <c r="G30" s="2" t="s">
        <v>232</v>
      </c>
      <c r="H30" s="2">
        <v>1</v>
      </c>
      <c r="I30" s="2">
        <v>1</v>
      </c>
      <c r="J30" s="2" t="s">
        <v>234</v>
      </c>
      <c r="R30" s="2">
        <f t="shared" si="1"/>
        <v>0</v>
      </c>
      <c r="S30" s="2">
        <f t="shared" si="0"/>
        <v>1</v>
      </c>
      <c r="T30" s="2"/>
      <c r="U30" s="2"/>
      <c r="V30" s="2"/>
      <c r="Y30" s="5" t="s">
        <v>235</v>
      </c>
      <c r="Z30" s="3" t="s">
        <v>236</v>
      </c>
    </row>
  </sheetData>
  <dataValidations count="3">
    <dataValidation type="list" allowBlank="1" sqref="V2:V30" xr:uid="{00000000-0002-0000-0000-000000000000}">
      <formula1>"YES,NO"</formula1>
    </dataValidation>
    <dataValidation type="list" allowBlank="1" sqref="T2:T30" xr:uid="{00000000-0002-0000-0000-000001000000}">
      <formula1>"FOUND,PARTIAL,MISSING,DAMAGED,SHIFTED,SCRAP,PENDING"</formula1>
    </dataValidation>
    <dataValidation type="list" allowBlank="1" sqref="U2:U30" xr:uid="{00000000-0002-0000-0000-000002000000}">
      <formula1>"GOOD,AVERAGE,DAMAGED,REPAIR REQUIRED"</formula1>
    </dataValidation>
  </dataValidations>
  <hyperlinks>
    <hyperlink ref="Y2" r:id="rId1" location="gid=0&amp;range=A2" xr:uid="{00000000-0004-0000-0000-000000000000}"/>
    <hyperlink ref="Z2" location="null!A2" display="https://docs.google.com/spreadsheets/d/1YQmKRvoXVfKvPnD--oA8zFRhrVoz8iDSD82l2x_g7fc/edit#gid=1224970529&amp;range=A2" xr:uid="{00000000-0004-0000-0000-000001000000}"/>
    <hyperlink ref="Y3" r:id="rId2" location="gid=0&amp;range=A3" xr:uid="{00000000-0004-0000-0000-000002000000}"/>
    <hyperlink ref="Z3" r:id="rId3" location="gid=0&amp;range=A3" xr:uid="{00000000-0004-0000-0000-000003000000}"/>
    <hyperlink ref="Y4" r:id="rId4" location="gid=0&amp;range=A4" xr:uid="{00000000-0004-0000-0000-000004000000}"/>
    <hyperlink ref="Z4" r:id="rId5" location="gid=0&amp;range=A4" xr:uid="{00000000-0004-0000-0000-000005000000}"/>
    <hyperlink ref="Y5" r:id="rId6" location="gid=0&amp;range=A5" xr:uid="{00000000-0004-0000-0000-000006000000}"/>
    <hyperlink ref="Z5" r:id="rId7" location="gid=0&amp;range=A5" xr:uid="{00000000-0004-0000-0000-000007000000}"/>
    <hyperlink ref="Y6" r:id="rId8" location="gid=0&amp;range=A6" xr:uid="{00000000-0004-0000-0000-000008000000}"/>
    <hyperlink ref="Z6" r:id="rId9" location="gid=0&amp;range=A6" xr:uid="{00000000-0004-0000-0000-000009000000}"/>
    <hyperlink ref="Y7" location="null!A7" display="https://docs.google.com/spreadsheets/d/1YQmKRvoXVfKvPnD--oA8zFRhrVoz8iDSD82l2x_g7fc/edit#gid=0&amp;range=A7" xr:uid="{00000000-0004-0000-0000-00000A000000}"/>
    <hyperlink ref="Z7" r:id="rId10" location="gid=0&amp;range=A7" xr:uid="{00000000-0004-0000-0000-00000B000000}"/>
    <hyperlink ref="Y8" r:id="rId11" location="gid=0&amp;range=A8" xr:uid="{00000000-0004-0000-0000-00000C000000}"/>
    <hyperlink ref="Z8" r:id="rId12" location="gid=0&amp;range=A8" xr:uid="{00000000-0004-0000-0000-00000D000000}"/>
    <hyperlink ref="Y9" r:id="rId13" location="gid=0&amp;range=A9" xr:uid="{00000000-0004-0000-0000-00000E000000}"/>
    <hyperlink ref="Z9" r:id="rId14" location="gid=0&amp;range=A9" xr:uid="{00000000-0004-0000-0000-00000F000000}"/>
    <hyperlink ref="Y10" r:id="rId15" location="gid=0&amp;range=A10" xr:uid="{00000000-0004-0000-0000-000010000000}"/>
    <hyperlink ref="Z10" r:id="rId16" location="gid=0&amp;range=A10" xr:uid="{00000000-0004-0000-0000-000011000000}"/>
    <hyperlink ref="Y11" r:id="rId17" location="gid=0&amp;range=A11" xr:uid="{00000000-0004-0000-0000-000012000000}"/>
    <hyperlink ref="Z11" r:id="rId18" location="gid=0&amp;range=A11" xr:uid="{00000000-0004-0000-0000-000013000000}"/>
    <hyperlink ref="Y12" r:id="rId19" location="gid=0&amp;range=A12" xr:uid="{00000000-0004-0000-0000-000014000000}"/>
    <hyperlink ref="Z12" r:id="rId20" location="gid=0&amp;range=A12" xr:uid="{00000000-0004-0000-0000-000015000000}"/>
    <hyperlink ref="Y13" r:id="rId21" location="gid=0&amp;range=A13" xr:uid="{00000000-0004-0000-0000-000016000000}"/>
    <hyperlink ref="Z13" r:id="rId22" location="gid=0&amp;range=A13" xr:uid="{00000000-0004-0000-0000-000017000000}"/>
    <hyperlink ref="Y14" r:id="rId23" location="gid=0&amp;range=A14" xr:uid="{00000000-0004-0000-0000-000018000000}"/>
    <hyperlink ref="Z14" r:id="rId24" location="gid=0&amp;range=A14" xr:uid="{00000000-0004-0000-0000-000019000000}"/>
    <hyperlink ref="Y15" r:id="rId25" location="gid=0&amp;range=A15" xr:uid="{00000000-0004-0000-0000-00001A000000}"/>
    <hyperlink ref="Z15" r:id="rId26" location="gid=0&amp;range=A15" xr:uid="{00000000-0004-0000-0000-00001B000000}"/>
    <hyperlink ref="Y16" r:id="rId27" location="gid=0&amp;range=A16" xr:uid="{00000000-0004-0000-0000-00001C000000}"/>
    <hyperlink ref="Z16" r:id="rId28" location="gid=0&amp;range=A16" xr:uid="{00000000-0004-0000-0000-00001D000000}"/>
    <hyperlink ref="Y17" r:id="rId29" location="gid=0&amp;range=A17" xr:uid="{00000000-0004-0000-0000-00001E000000}"/>
    <hyperlink ref="Z17" r:id="rId30" location="gid=0&amp;range=A17" xr:uid="{00000000-0004-0000-0000-00001F000000}"/>
    <hyperlink ref="Y18" r:id="rId31" location="gid=0&amp;range=A18" xr:uid="{00000000-0004-0000-0000-000020000000}"/>
    <hyperlink ref="Z18" r:id="rId32" location="gid=0&amp;range=A18" xr:uid="{00000000-0004-0000-0000-000021000000}"/>
    <hyperlink ref="Y19" r:id="rId33" location="gid=0&amp;range=A19" xr:uid="{00000000-0004-0000-0000-000022000000}"/>
    <hyperlink ref="Z19" r:id="rId34" location="gid=0&amp;range=A19" xr:uid="{00000000-0004-0000-0000-000023000000}"/>
    <hyperlink ref="Y20" r:id="rId35" location="gid=0&amp;range=A20" xr:uid="{00000000-0004-0000-0000-000024000000}"/>
    <hyperlink ref="Z20" r:id="rId36" location="gid=0&amp;range=A20" xr:uid="{00000000-0004-0000-0000-000025000000}"/>
    <hyperlink ref="Y21" r:id="rId37" location="gid=0&amp;range=A21" xr:uid="{00000000-0004-0000-0000-000026000000}"/>
    <hyperlink ref="Z21" r:id="rId38" location="gid=0&amp;range=A21" xr:uid="{00000000-0004-0000-0000-000027000000}"/>
    <hyperlink ref="Y22" r:id="rId39" location="gid=0&amp;range=A22" xr:uid="{00000000-0004-0000-0000-000028000000}"/>
    <hyperlink ref="Z22" r:id="rId40" location="gid=0&amp;range=A22" xr:uid="{00000000-0004-0000-0000-000029000000}"/>
    <hyperlink ref="Y23" r:id="rId41" location="gid=0&amp;range=A23" xr:uid="{00000000-0004-0000-0000-00002A000000}"/>
    <hyperlink ref="Z23" r:id="rId42" location="gid=0&amp;range=A23" xr:uid="{00000000-0004-0000-0000-00002B000000}"/>
    <hyperlink ref="Y24" r:id="rId43" location="gid=0&amp;range=A24" xr:uid="{00000000-0004-0000-0000-00002C000000}"/>
    <hyperlink ref="Z24" r:id="rId44" location="gid=0&amp;range=A24" xr:uid="{00000000-0004-0000-0000-00002D000000}"/>
    <hyperlink ref="Y25" r:id="rId45" location="gid=0&amp;range=A25" xr:uid="{00000000-0004-0000-0000-00002E000000}"/>
    <hyperlink ref="Z25" r:id="rId46" location="gid=0&amp;range=A25" xr:uid="{00000000-0004-0000-0000-00002F000000}"/>
    <hyperlink ref="Y26" r:id="rId47" location="gid=0&amp;range=A26" xr:uid="{00000000-0004-0000-0000-000030000000}"/>
    <hyperlink ref="Z26" r:id="rId48" location="gid=0&amp;range=A26" xr:uid="{00000000-0004-0000-0000-000031000000}"/>
    <hyperlink ref="Y27" r:id="rId49" location="gid=0&amp;range=A27" xr:uid="{00000000-0004-0000-0000-000032000000}"/>
    <hyperlink ref="Z27" r:id="rId50" location="gid=0&amp;range=A27" xr:uid="{00000000-0004-0000-0000-000033000000}"/>
    <hyperlink ref="Y28" r:id="rId51" location="gid=0&amp;range=A28" xr:uid="{00000000-0004-0000-0000-000034000000}"/>
    <hyperlink ref="Z28" r:id="rId52" location="gid=0&amp;range=A28" xr:uid="{00000000-0004-0000-0000-000035000000}"/>
    <hyperlink ref="Y29" r:id="rId53" location="gid=0&amp;range=A29" xr:uid="{00000000-0004-0000-0000-000036000000}"/>
    <hyperlink ref="Z29" r:id="rId54" location="gid=0&amp;range=A29" xr:uid="{00000000-0004-0000-0000-000037000000}"/>
    <hyperlink ref="Y30" r:id="rId55" location="gid=0&amp;range=A30" xr:uid="{00000000-0004-0000-0000-000038000000}"/>
    <hyperlink ref="Z30" r:id="rId56" location="gid=0&amp;range=A30" xr:uid="{00000000-0004-0000-0000-000039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1" width="120" customWidth="1"/>
    <col min="2" max="26" width="8.7109375" customWidth="1"/>
  </cols>
  <sheetData>
    <row r="1" spans="1:1" ht="18.75" x14ac:dyDescent="0.3">
      <c r="A1" s="6" t="s">
        <v>237</v>
      </c>
    </row>
    <row r="3" spans="1:1" x14ac:dyDescent="0.25">
      <c r="A3" s="2" t="s">
        <v>238</v>
      </c>
    </row>
    <row r="4" spans="1:1" x14ac:dyDescent="0.25">
      <c r="A4" s="2" t="s">
        <v>239</v>
      </c>
    </row>
    <row r="5" spans="1:1" x14ac:dyDescent="0.25">
      <c r="A5" s="2" t="s">
        <v>240</v>
      </c>
    </row>
    <row r="6" spans="1:1" x14ac:dyDescent="0.25">
      <c r="A6" s="2" t="s">
        <v>241</v>
      </c>
    </row>
    <row r="7" spans="1:1" x14ac:dyDescent="0.25">
      <c r="A7" s="2" t="s">
        <v>242</v>
      </c>
    </row>
    <row r="8" spans="1:1" x14ac:dyDescent="0.25">
      <c r="A8" s="2" t="s">
        <v>243</v>
      </c>
    </row>
    <row r="9" spans="1:1" x14ac:dyDescent="0.25">
      <c r="A9" s="2" t="s">
        <v>244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UIBM_QR_VERIFICATION</vt:lpstr>
      <vt:lpstr>IMPLEMENTATION_GUIDE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Srivastava</cp:lastModifiedBy>
  <dcterms:modified xsi:type="dcterms:W3CDTF">2026-05-14T07:44:32Z</dcterms:modified>
</cp:coreProperties>
</file>